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mer\Meu Drive\Trabalho\Impressão\"/>
    </mc:Choice>
  </mc:AlternateContent>
  <xr:revisionPtr revIDLastSave="0" documentId="13_ncr:1_{85DEA166-1819-46EB-8969-531F5D575652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Custo Resina" sheetId="2" r:id="rId1"/>
    <sheet name="Custo Filament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riBPIrYfYImpXlBqCg1Kjex+G/p1/gBSgAwcEQqaTY="/>
    </ext>
  </extLst>
</workbook>
</file>

<file path=xl/calcChain.xml><?xml version="1.0" encoding="utf-8"?>
<calcChain xmlns="http://schemas.openxmlformats.org/spreadsheetml/2006/main">
  <c r="I21" i="2" l="1"/>
  <c r="I22" i="2" s="1"/>
  <c r="N5" i="2"/>
  <c r="C35" i="2"/>
  <c r="C34" i="2"/>
  <c r="F27" i="2"/>
  <c r="C22" i="2"/>
  <c r="C25" i="2" s="1"/>
  <c r="C30" i="1"/>
  <c r="C29" i="1"/>
  <c r="J31" i="1" s="1"/>
  <c r="I23" i="1"/>
  <c r="F23" i="1"/>
  <c r="C20" i="1"/>
  <c r="C23" i="1" s="1"/>
  <c r="J30" i="2" l="1"/>
  <c r="I23" i="2"/>
  <c r="J28" i="2"/>
  <c r="J29" i="2"/>
  <c r="J30" i="1"/>
  <c r="J32" i="1"/>
  <c r="I24" i="1"/>
  <c r="I25" i="1" s="1"/>
  <c r="I27" i="1" s="1"/>
  <c r="I25" i="2" l="1"/>
  <c r="I16" i="2" s="1"/>
  <c r="I8" i="1"/>
  <c r="I18" i="1"/>
  <c r="I6" i="2" l="1"/>
  <c r="I7" i="2" s="1"/>
  <c r="I20" i="1"/>
  <c r="I19" i="1"/>
  <c r="I16" i="1"/>
  <c r="I17" i="2"/>
  <c r="I14" i="2"/>
  <c r="I18" i="2"/>
  <c r="I10" i="1"/>
  <c r="I9" i="1"/>
  <c r="I6" i="1"/>
  <c r="I4" i="2" l="1"/>
  <c r="I8" i="2"/>
</calcChain>
</file>

<file path=xl/sharedStrings.xml><?xml version="1.0" encoding="utf-8"?>
<sst xmlns="http://schemas.openxmlformats.org/spreadsheetml/2006/main" count="185" uniqueCount="74">
  <si>
    <t>Video explicando a planilha</t>
  </si>
  <si>
    <t>https://youtu.be/AlZiM34PTiA</t>
  </si>
  <si>
    <t>Modelo</t>
  </si>
  <si>
    <t>PREÇO FINAL (SEM PINTURA)</t>
  </si>
  <si>
    <t>Produto</t>
  </si>
  <si>
    <t>Tempo de Impressão</t>
  </si>
  <si>
    <t>Peso Estimado</t>
  </si>
  <si>
    <t>Markup</t>
  </si>
  <si>
    <t>horas</t>
  </si>
  <si>
    <t>g</t>
  </si>
  <si>
    <t>Lucro total</t>
  </si>
  <si>
    <t>Custo Fixo</t>
  </si>
  <si>
    <t>Custos Variavel</t>
  </si>
  <si>
    <t>Valor Final - Cliente</t>
  </si>
  <si>
    <t>Kg do Filamento</t>
  </si>
  <si>
    <t>Valor Final - Shopee</t>
  </si>
  <si>
    <t>Assinaturas de softwares</t>
  </si>
  <si>
    <t>Potencia Impressora</t>
  </si>
  <si>
    <t>Valor Final - ML</t>
  </si>
  <si>
    <t xml:space="preserve"> </t>
  </si>
  <si>
    <t>Custo KWh</t>
  </si>
  <si>
    <t>Embalagem</t>
  </si>
  <si>
    <t>Frete (Frete Gratis)</t>
  </si>
  <si>
    <t>PREÇO FINAL (COM PINTURA)</t>
  </si>
  <si>
    <t>Amortização</t>
  </si>
  <si>
    <t>Pintura</t>
  </si>
  <si>
    <t>Média</t>
  </si>
  <si>
    <t>Células brancas podem ser alteradas</t>
  </si>
  <si>
    <t>-</t>
  </si>
  <si>
    <t>Células em Verde são formulas</t>
  </si>
  <si>
    <t>não digitar a menos que saiba oq está fazendo</t>
  </si>
  <si>
    <t>Valor Final do Produto</t>
  </si>
  <si>
    <t>Total Custo Fixo</t>
  </si>
  <si>
    <t>Vida Util (Meses)</t>
  </si>
  <si>
    <t>Caixa para selecionar</t>
  </si>
  <si>
    <t>Faturamento Previsto</t>
  </si>
  <si>
    <t>Custo Fixo Dissolvido</t>
  </si>
  <si>
    <t>Total Amortização</t>
  </si>
  <si>
    <t>Custos Direto do Produto</t>
  </si>
  <si>
    <t>Custos Indireto do Produto</t>
  </si>
  <si>
    <t xml:space="preserve">Percentual de Falhas </t>
  </si>
  <si>
    <t>Tinta Acrilica Simples</t>
  </si>
  <si>
    <t>Tinta Acrilica Média</t>
  </si>
  <si>
    <t>Custo Total do Produto</t>
  </si>
  <si>
    <t>Tinta Acrilica Complexa</t>
  </si>
  <si>
    <t>Valor Spray</t>
  </si>
  <si>
    <t>Qtd de peças</t>
  </si>
  <si>
    <t>Primer</t>
  </si>
  <si>
    <t>Verniz</t>
  </si>
  <si>
    <t>Custo Pintura</t>
  </si>
  <si>
    <t>Simples</t>
  </si>
  <si>
    <t>Mão de Obra Pintura</t>
  </si>
  <si>
    <t>hrs</t>
  </si>
  <si>
    <t>Complexa</t>
  </si>
  <si>
    <t>Custo Hora</t>
  </si>
  <si>
    <t>Internet</t>
  </si>
  <si>
    <t>Creality Halot R6</t>
  </si>
  <si>
    <t>Álcool Limpeza</t>
  </si>
  <si>
    <t>Chapeu Seletor</t>
  </si>
  <si>
    <t>Venom</t>
  </si>
  <si>
    <t>Produto Part1</t>
  </si>
  <si>
    <t>Produto Part2</t>
  </si>
  <si>
    <t>Produto Part3</t>
  </si>
  <si>
    <t>Kg da Resina 2</t>
  </si>
  <si>
    <t>Kg da Resina 3</t>
  </si>
  <si>
    <t>Kg da Resina 1</t>
  </si>
  <si>
    <t>Luffy</t>
  </si>
  <si>
    <t>Luffy Transparente</t>
  </si>
  <si>
    <t>Conversor de hora</t>
  </si>
  <si>
    <t>Tempo inserido</t>
  </si>
  <si>
    <t>Tempo convertido</t>
  </si>
  <si>
    <t>1h =</t>
  </si>
  <si>
    <t>30min =</t>
  </si>
  <si>
    <t>10min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</si>
</sst>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-F400]h:mm:ss\ AM/PM"/>
  </numFmts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2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6" xfId="0" applyFont="1" applyBorder="1"/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164" fontId="5" fillId="3" borderId="9" xfId="0" applyNumberFormat="1" applyFont="1" applyFill="1" applyBorder="1"/>
    <xf numFmtId="0" fontId="5" fillId="0" borderId="10" xfId="0" applyFont="1" applyBorder="1"/>
    <xf numFmtId="164" fontId="5" fillId="4" borderId="9" xfId="0" applyNumberFormat="1" applyFont="1" applyFill="1" applyBorder="1"/>
    <xf numFmtId="0" fontId="5" fillId="0" borderId="5" xfId="0" applyFont="1" applyBorder="1" applyAlignment="1">
      <alignment horizontal="center"/>
    </xf>
    <xf numFmtId="164" fontId="5" fillId="0" borderId="6" xfId="0" applyNumberFormat="1" applyFont="1" applyBorder="1"/>
    <xf numFmtId="0" fontId="5" fillId="0" borderId="5" xfId="0" applyFont="1" applyBorder="1" applyAlignment="1">
      <alignment horizontal="right"/>
    </xf>
    <xf numFmtId="9" fontId="5" fillId="0" borderId="0" xfId="0" applyNumberFormat="1" applyFont="1"/>
    <xf numFmtId="0" fontId="5" fillId="0" borderId="11" xfId="0" applyFont="1" applyBorder="1"/>
    <xf numFmtId="164" fontId="5" fillId="4" borderId="12" xfId="0" applyNumberFormat="1" applyFont="1" applyFill="1" applyBorder="1"/>
    <xf numFmtId="9" fontId="5" fillId="0" borderId="7" xfId="0" applyNumberFormat="1" applyFont="1" applyBorder="1"/>
    <xf numFmtId="0" fontId="5" fillId="5" borderId="4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5" fillId="4" borderId="9" xfId="0" applyFont="1" applyFill="1" applyBorder="1"/>
    <xf numFmtId="0" fontId="5" fillId="0" borderId="11" xfId="0" applyFont="1" applyBorder="1" applyAlignment="1">
      <alignment horizontal="center"/>
    </xf>
    <xf numFmtId="164" fontId="5" fillId="3" borderId="13" xfId="0" applyNumberFormat="1" applyFont="1" applyFill="1" applyBorder="1"/>
    <xf numFmtId="0" fontId="5" fillId="0" borderId="6" xfId="0" applyFont="1" applyBorder="1" applyAlignment="1">
      <alignment horizontal="center"/>
    </xf>
    <xf numFmtId="0" fontId="5" fillId="6" borderId="9" xfId="0" applyFont="1" applyFill="1" applyBorder="1"/>
    <xf numFmtId="10" fontId="5" fillId="3" borderId="13" xfId="0" applyNumberFormat="1" applyFont="1" applyFill="1" applyBorder="1"/>
    <xf numFmtId="0" fontId="5" fillId="0" borderId="14" xfId="0" applyFont="1" applyBorder="1"/>
    <xf numFmtId="2" fontId="5" fillId="3" borderId="13" xfId="0" applyNumberFormat="1" applyFont="1" applyFill="1" applyBorder="1"/>
    <xf numFmtId="0" fontId="5" fillId="0" borderId="15" xfId="0" applyFont="1" applyBorder="1"/>
    <xf numFmtId="164" fontId="5" fillId="3" borderId="16" xfId="0" applyNumberFormat="1" applyFont="1" applyFill="1" applyBorder="1"/>
    <xf numFmtId="0" fontId="5" fillId="0" borderId="17" xfId="0" applyFont="1" applyBorder="1"/>
    <xf numFmtId="9" fontId="5" fillId="0" borderId="0" xfId="0" applyNumberFormat="1" applyFont="1" applyAlignment="1">
      <alignment horizontal="center"/>
    </xf>
    <xf numFmtId="164" fontId="5" fillId="0" borderId="0" xfId="0" applyNumberFormat="1" applyFont="1"/>
    <xf numFmtId="164" fontId="5" fillId="3" borderId="12" xfId="0" applyNumberFormat="1" applyFont="1" applyFill="1" applyBorder="1"/>
    <xf numFmtId="0" fontId="5" fillId="0" borderId="7" xfId="0" applyFont="1" applyBorder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6" xfId="1" applyNumberFormat="1" applyFont="1" applyBorder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8" fillId="0" borderId="18" xfId="0" applyFont="1" applyBorder="1"/>
    <xf numFmtId="0" fontId="0" fillId="0" borderId="19" xfId="0" applyBorder="1"/>
    <xf numFmtId="0" fontId="0" fillId="0" borderId="20" xfId="0" applyBorder="1"/>
    <xf numFmtId="0" fontId="8" fillId="0" borderId="21" xfId="0" applyFont="1" applyBorder="1"/>
    <xf numFmtId="0" fontId="0" fillId="0" borderId="9" xfId="0" applyBorder="1"/>
    <xf numFmtId="0" fontId="0" fillId="0" borderId="22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65" fontId="5" fillId="3" borderId="9" xfId="0" applyNumberFormat="1" applyFont="1" applyFill="1" applyBorder="1"/>
    <xf numFmtId="0" fontId="8" fillId="0" borderId="19" xfId="0" applyFont="1" applyBorder="1"/>
    <xf numFmtId="0" fontId="8" fillId="0" borderId="9" xfId="0" applyFont="1" applyBorder="1"/>
    <xf numFmtId="0" fontId="5" fillId="3" borderId="1" xfId="0" applyFont="1" applyFill="1" applyBorder="1" applyAlignment="1">
      <alignment horizontal="center"/>
    </xf>
    <xf numFmtId="0" fontId="4" fillId="0" borderId="3" xfId="0" applyFont="1" applyBorder="1"/>
    <xf numFmtId="0" fontId="3" fillId="2" borderId="15" xfId="0" applyFont="1" applyFill="1" applyBorder="1" applyAlignment="1">
      <alignment horizontal="center"/>
    </xf>
    <xf numFmtId="0" fontId="4" fillId="0" borderId="16" xfId="0" applyFont="1" applyBorder="1"/>
    <xf numFmtId="0" fontId="4" fillId="0" borderId="17" xfId="0" applyFont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3" fillId="2" borderId="3" xfId="0" applyFont="1" applyFill="1" applyBorder="1" applyAlignment="1">
      <alignment horizontal="center"/>
    </xf>
    <xf numFmtId="0" fontId="5" fillId="0" borderId="9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19050</xdr:rowOff>
    </xdr:from>
    <xdr:ext cx="3190875" cy="1524000"/>
    <xdr:pic>
      <xdr:nvPicPr>
        <xdr:cNvPr id="2" name="image1.jpg" descr="atençã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22</xdr:row>
      <xdr:rowOff>19050</xdr:rowOff>
    </xdr:from>
    <xdr:ext cx="2352675" cy="26479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youtu.be/AlZiM34PT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000"/>
  <sheetViews>
    <sheetView tabSelected="1" zoomScale="115" zoomScaleNormal="115" workbookViewId="0">
      <selection activeCell="I21" sqref="I21"/>
    </sheetView>
  </sheetViews>
  <sheetFormatPr defaultColWidth="14.44140625" defaultRowHeight="15" customHeight="1" x14ac:dyDescent="0.3"/>
  <cols>
    <col min="1" max="1" width="4.5546875" customWidth="1"/>
    <col min="2" max="2" width="23.5546875" customWidth="1"/>
    <col min="3" max="3" width="14.33203125" customWidth="1"/>
    <col min="4" max="4" width="11.109375" customWidth="1"/>
    <col min="5" max="5" width="22.5546875" customWidth="1"/>
    <col min="6" max="6" width="12.44140625" customWidth="1"/>
    <col min="7" max="7" width="4.5546875" customWidth="1"/>
    <col min="8" max="8" width="24.109375" customWidth="1"/>
    <col min="9" max="9" width="12.109375" customWidth="1"/>
    <col min="10" max="10" width="10" customWidth="1"/>
    <col min="11" max="11" width="8.88671875" customWidth="1"/>
    <col min="12" max="12" width="4.5546875" customWidth="1"/>
    <col min="13" max="13" width="14.5546875" bestFit="1" customWidth="1"/>
    <col min="14" max="15" width="8.6640625" customWidth="1"/>
    <col min="16" max="16" width="15.33203125" bestFit="1" customWidth="1"/>
    <col min="17" max="22" width="8.6640625" customWidth="1"/>
  </cols>
  <sheetData>
    <row r="1" spans="2:17" ht="13.5" customHeight="1" x14ac:dyDescent="0.3"/>
    <row r="2" spans="2:17" ht="13.5" customHeight="1" x14ac:dyDescent="0.3">
      <c r="B2" s="70" t="s">
        <v>2</v>
      </c>
      <c r="C2" s="71"/>
      <c r="D2" s="71"/>
      <c r="E2" s="71"/>
      <c r="F2" s="66"/>
      <c r="H2" s="70" t="s">
        <v>3</v>
      </c>
      <c r="I2" s="71"/>
      <c r="J2" s="71"/>
      <c r="K2" s="66"/>
      <c r="M2" s="67" t="s">
        <v>68</v>
      </c>
      <c r="N2" s="68"/>
      <c r="O2" s="68"/>
      <c r="P2" s="68"/>
      <c r="Q2" s="69"/>
    </row>
    <row r="3" spans="2:17" ht="13.5" customHeight="1" x14ac:dyDescent="0.3">
      <c r="B3" s="49" t="s">
        <v>60</v>
      </c>
      <c r="C3" s="65" t="s">
        <v>5</v>
      </c>
      <c r="D3" s="66"/>
      <c r="E3" s="65" t="s">
        <v>6</v>
      </c>
      <c r="F3" s="66"/>
      <c r="H3" s="4" t="s">
        <v>7</v>
      </c>
      <c r="I3" s="5">
        <v>4</v>
      </c>
      <c r="J3" s="6"/>
      <c r="K3" s="7"/>
      <c r="M3" s="52" t="s">
        <v>69</v>
      </c>
      <c r="N3" s="53">
        <v>0.1666</v>
      </c>
      <c r="O3" s="53"/>
      <c r="P3" s="63" t="s">
        <v>71</v>
      </c>
      <c r="Q3" s="54">
        <v>1</v>
      </c>
    </row>
    <row r="4" spans="2:17" ht="13.5" customHeight="1" x14ac:dyDescent="0.3">
      <c r="B4" s="51" t="s">
        <v>66</v>
      </c>
      <c r="C4" s="9">
        <v>1</v>
      </c>
      <c r="D4" s="10" t="s">
        <v>8</v>
      </c>
      <c r="E4" s="11">
        <v>10</v>
      </c>
      <c r="F4" s="12" t="s">
        <v>9</v>
      </c>
      <c r="H4" s="4" t="s">
        <v>10</v>
      </c>
      <c r="I4" s="13">
        <f>I6-I25</f>
        <v>30.124005808146251</v>
      </c>
      <c r="J4" s="6"/>
      <c r="K4" s="7"/>
      <c r="M4" s="58"/>
      <c r="N4" s="56"/>
      <c r="O4" s="56"/>
      <c r="P4" s="64" t="s">
        <v>72</v>
      </c>
      <c r="Q4" s="57">
        <v>0.5</v>
      </c>
    </row>
    <row r="5" spans="2:17" ht="13.5" customHeight="1" x14ac:dyDescent="0.3">
      <c r="B5" s="49" t="s">
        <v>61</v>
      </c>
      <c r="C5" s="65" t="s">
        <v>5</v>
      </c>
      <c r="D5" s="66"/>
      <c r="E5" s="65" t="s">
        <v>6</v>
      </c>
      <c r="F5" s="66"/>
      <c r="H5" s="4"/>
      <c r="I5" s="6"/>
      <c r="J5" s="6"/>
      <c r="K5" s="7"/>
      <c r="M5" s="55" t="s">
        <v>70</v>
      </c>
      <c r="N5" s="62">
        <f>N3/24</f>
        <v>6.9416666666666663E-3</v>
      </c>
      <c r="O5" s="56"/>
      <c r="P5" s="64" t="s">
        <v>73</v>
      </c>
      <c r="Q5" s="57">
        <v>0.1666</v>
      </c>
    </row>
    <row r="6" spans="2:17" ht="13.5" customHeight="1" x14ac:dyDescent="0.3">
      <c r="B6" s="51" t="s">
        <v>67</v>
      </c>
      <c r="C6" s="9">
        <v>0.65</v>
      </c>
      <c r="D6" s="10" t="s">
        <v>8</v>
      </c>
      <c r="E6" s="11">
        <v>0</v>
      </c>
      <c r="F6" s="12" t="s">
        <v>9</v>
      </c>
      <c r="H6" s="4" t="s">
        <v>13</v>
      </c>
      <c r="I6" s="15">
        <f>ROUNDUP((I25*I3),0)</f>
        <v>40</v>
      </c>
      <c r="J6" s="6"/>
      <c r="K6" s="7"/>
      <c r="M6" s="59"/>
      <c r="N6" s="60"/>
      <c r="O6" s="60"/>
      <c r="P6" s="60"/>
      <c r="Q6" s="61"/>
    </row>
    <row r="7" spans="2:17" ht="13.5" customHeight="1" x14ac:dyDescent="0.3">
      <c r="B7" s="49" t="s">
        <v>62</v>
      </c>
      <c r="C7" s="65" t="s">
        <v>5</v>
      </c>
      <c r="D7" s="66"/>
      <c r="E7" s="65" t="s">
        <v>6</v>
      </c>
      <c r="F7" s="66"/>
      <c r="H7" s="4" t="s">
        <v>15</v>
      </c>
      <c r="I7" s="15">
        <f>ROUNDUP(((I6*J7)+I6)+K7,0)</f>
        <v>53</v>
      </c>
      <c r="J7" s="19">
        <v>0.2</v>
      </c>
      <c r="K7" s="17">
        <v>5</v>
      </c>
    </row>
    <row r="8" spans="2:17" ht="13.5" customHeight="1" x14ac:dyDescent="0.3">
      <c r="B8" s="8" t="s">
        <v>59</v>
      </c>
      <c r="C8" s="9">
        <v>0</v>
      </c>
      <c r="D8" s="10" t="s">
        <v>8</v>
      </c>
      <c r="E8" s="11">
        <v>0</v>
      </c>
      <c r="F8" s="12" t="s">
        <v>9</v>
      </c>
      <c r="H8" s="20" t="s">
        <v>18</v>
      </c>
      <c r="I8" s="21">
        <f>ROUNDUP((I6*J8)+I6,0)</f>
        <v>52</v>
      </c>
      <c r="J8" s="22">
        <v>0.3</v>
      </c>
      <c r="K8" s="12" t="s">
        <v>19</v>
      </c>
    </row>
    <row r="9" spans="2:17" ht="13.5" customHeight="1" x14ac:dyDescent="0.3">
      <c r="D9" s="14"/>
    </row>
    <row r="10" spans="2:17" ht="13.5" customHeight="1" x14ac:dyDescent="0.3">
      <c r="B10" s="70" t="s">
        <v>11</v>
      </c>
      <c r="C10" s="72"/>
      <c r="D10" s="6"/>
      <c r="E10" s="70" t="s">
        <v>12</v>
      </c>
      <c r="F10" s="66"/>
    </row>
    <row r="11" spans="2:17" ht="13.5" customHeight="1" x14ac:dyDescent="0.3">
      <c r="B11" s="16" t="s">
        <v>55</v>
      </c>
      <c r="C11" s="17">
        <v>60</v>
      </c>
      <c r="D11" s="6"/>
      <c r="E11" s="50" t="s">
        <v>65</v>
      </c>
      <c r="F11" s="17">
        <v>139.9</v>
      </c>
      <c r="H11" s="70" t="s">
        <v>23</v>
      </c>
      <c r="I11" s="71"/>
      <c r="J11" s="71"/>
      <c r="K11" s="66"/>
    </row>
    <row r="12" spans="2:17" ht="13.5" customHeight="1" x14ac:dyDescent="0.3">
      <c r="B12" s="16" t="s">
        <v>16</v>
      </c>
      <c r="C12" s="17">
        <v>54.23</v>
      </c>
      <c r="D12" s="6"/>
      <c r="E12" s="50" t="s">
        <v>63</v>
      </c>
      <c r="F12" s="17">
        <v>0</v>
      </c>
      <c r="H12" s="4" t="s">
        <v>25</v>
      </c>
      <c r="I12" s="23" t="s">
        <v>50</v>
      </c>
      <c r="J12" s="6"/>
      <c r="K12" s="7"/>
    </row>
    <row r="13" spans="2:17" ht="13.5" customHeight="1" x14ac:dyDescent="0.3">
      <c r="B13" s="16" t="s">
        <v>28</v>
      </c>
      <c r="C13" s="17"/>
      <c r="D13" s="6"/>
      <c r="E13" s="50" t="s">
        <v>64</v>
      </c>
      <c r="F13" s="17">
        <v>0</v>
      </c>
      <c r="H13" s="4" t="s">
        <v>7</v>
      </c>
      <c r="I13" s="5">
        <v>2</v>
      </c>
      <c r="J13" s="6"/>
      <c r="K13" s="7"/>
    </row>
    <row r="14" spans="2:17" ht="13.5" customHeight="1" x14ac:dyDescent="0.3">
      <c r="B14" s="16" t="s">
        <v>28</v>
      </c>
      <c r="C14" s="17"/>
      <c r="D14" s="6"/>
      <c r="E14" s="18" t="s">
        <v>17</v>
      </c>
      <c r="F14" s="7">
        <v>42</v>
      </c>
      <c r="H14" s="4" t="s">
        <v>10</v>
      </c>
      <c r="I14" s="13">
        <f>I16-(VLOOKUP(I12,I28:J30,2,FALSE))-I25</f>
        <v>16.61200580814625</v>
      </c>
      <c r="J14" s="6"/>
      <c r="K14" s="7"/>
    </row>
    <row r="15" spans="2:17" ht="13.5" customHeight="1" x14ac:dyDescent="0.3">
      <c r="B15" s="16" t="s">
        <v>28</v>
      </c>
      <c r="C15" s="17"/>
      <c r="D15" s="6"/>
      <c r="E15" s="18" t="s">
        <v>20</v>
      </c>
      <c r="F15" s="7">
        <v>0.97</v>
      </c>
      <c r="H15" s="4"/>
      <c r="I15" s="6"/>
      <c r="J15" s="6"/>
      <c r="K15" s="7"/>
    </row>
    <row r="16" spans="2:17" ht="13.5" customHeight="1" x14ac:dyDescent="0.3">
      <c r="B16" s="16" t="s">
        <v>28</v>
      </c>
      <c r="C16" s="17"/>
      <c r="D16" s="6"/>
      <c r="E16" s="18" t="s">
        <v>21</v>
      </c>
      <c r="F16" s="17">
        <v>0</v>
      </c>
      <c r="H16" s="4" t="s">
        <v>13</v>
      </c>
      <c r="I16" s="15">
        <f>ROUNDUP(((I25+(VLOOKUP(I12,I28:J30,2,FALSE)))*I13),0)</f>
        <v>33</v>
      </c>
      <c r="J16" s="6"/>
      <c r="K16" s="7"/>
    </row>
    <row r="17" spans="2:11" ht="13.5" customHeight="1" x14ac:dyDescent="0.3">
      <c r="B17" s="16" t="s">
        <v>28</v>
      </c>
      <c r="C17" s="17"/>
      <c r="D17" s="6"/>
      <c r="E17" s="18" t="s">
        <v>22</v>
      </c>
      <c r="F17" s="17">
        <v>0</v>
      </c>
      <c r="H17" s="4" t="s">
        <v>15</v>
      </c>
      <c r="I17" s="15">
        <f>ROUNDUP(((I16*J17)+I16)+K17,0)</f>
        <v>44</v>
      </c>
      <c r="J17" s="19">
        <v>0.2</v>
      </c>
      <c r="K17" s="17">
        <v>4</v>
      </c>
    </row>
    <row r="18" spans="2:11" ht="13.5" customHeight="1" x14ac:dyDescent="0.3">
      <c r="B18" s="16" t="s">
        <v>28</v>
      </c>
      <c r="C18" s="17"/>
      <c r="D18" s="6"/>
      <c r="E18" s="18" t="s">
        <v>57</v>
      </c>
      <c r="F18" s="45">
        <v>5</v>
      </c>
      <c r="H18" s="20" t="s">
        <v>18</v>
      </c>
      <c r="I18" s="21">
        <f>ROUNDUP((I16*J18)+I16,0)</f>
        <v>40</v>
      </c>
      <c r="J18" s="22">
        <v>0.19</v>
      </c>
      <c r="K18" s="12" t="s">
        <v>19</v>
      </c>
    </row>
    <row r="19" spans="2:11" ht="13.5" customHeight="1" x14ac:dyDescent="0.3">
      <c r="B19" s="16" t="s">
        <v>28</v>
      </c>
      <c r="C19" s="17"/>
      <c r="D19" s="6"/>
      <c r="E19" s="70" t="s">
        <v>24</v>
      </c>
      <c r="F19" s="66"/>
    </row>
    <row r="20" spans="2:11" ht="13.5" customHeight="1" x14ac:dyDescent="0.3">
      <c r="B20" s="16" t="s">
        <v>28</v>
      </c>
      <c r="C20" s="17"/>
      <c r="D20" s="6"/>
      <c r="E20" s="16" t="s">
        <v>56</v>
      </c>
      <c r="F20" s="17">
        <v>1180.0999999999999</v>
      </c>
    </row>
    <row r="21" spans="2:11" ht="13.5" customHeight="1" x14ac:dyDescent="0.3">
      <c r="B21" s="16" t="s">
        <v>28</v>
      </c>
      <c r="C21" s="17"/>
      <c r="D21" s="6"/>
      <c r="E21" s="16" t="s">
        <v>28</v>
      </c>
      <c r="F21" s="17"/>
      <c r="H21" s="33" t="s">
        <v>38</v>
      </c>
      <c r="I21" s="34">
        <f>(((F11/1000)*E4)+((F15*F14)/1000)*(C4/24))+(((F12/1000)*E6)+((F15*F14)/1000)*(C6/24))+(((F13/1000)*E8)+((F15*F14)/1000)*(C8/24))+F16+F17+F18</f>
        <v>6.4018008750000002</v>
      </c>
      <c r="J21" s="14"/>
      <c r="K21" s="35"/>
    </row>
    <row r="22" spans="2:11" ht="13.5" customHeight="1" x14ac:dyDescent="0.3">
      <c r="B22" s="26" t="s">
        <v>32</v>
      </c>
      <c r="C22" s="27">
        <f>SUM(C11:C21)</f>
        <v>114.22999999999999</v>
      </c>
      <c r="D22" s="6"/>
      <c r="E22" s="16" t="s">
        <v>28</v>
      </c>
      <c r="F22" s="17"/>
      <c r="H22" s="4" t="s">
        <v>39</v>
      </c>
      <c r="I22" s="13">
        <f>I21*C25</f>
        <v>1.8281942848781247</v>
      </c>
      <c r="J22" s="6"/>
      <c r="K22" s="7"/>
    </row>
    <row r="23" spans="2:11" ht="13.5" customHeight="1" x14ac:dyDescent="0.3">
      <c r="B23" s="4"/>
      <c r="C23" s="7"/>
      <c r="D23" s="6"/>
      <c r="E23" s="16" t="s">
        <v>28</v>
      </c>
      <c r="F23" s="17"/>
      <c r="H23" s="4" t="s">
        <v>40</v>
      </c>
      <c r="I23" s="13">
        <f>(I21+I22)*J23</f>
        <v>1.6459990319756252</v>
      </c>
      <c r="J23" s="36">
        <v>0.2</v>
      </c>
      <c r="K23" s="7"/>
    </row>
    <row r="24" spans="2:11" ht="13.5" customHeight="1" x14ac:dyDescent="0.3">
      <c r="B24" s="4" t="s">
        <v>35</v>
      </c>
      <c r="C24" s="17">
        <v>400</v>
      </c>
      <c r="D24" s="6"/>
      <c r="E24" s="16" t="s">
        <v>28</v>
      </c>
      <c r="F24" s="17"/>
      <c r="H24" s="4"/>
      <c r="I24" s="6"/>
      <c r="J24" s="6"/>
      <c r="K24" s="7"/>
    </row>
    <row r="25" spans="2:11" ht="13.5" customHeight="1" x14ac:dyDescent="0.3">
      <c r="B25" s="20" t="s">
        <v>36</v>
      </c>
      <c r="C25" s="30">
        <f>C22/C24</f>
        <v>0.28557499999999997</v>
      </c>
      <c r="D25" s="31"/>
      <c r="E25" s="16" t="s">
        <v>33</v>
      </c>
      <c r="F25" s="28">
        <v>18</v>
      </c>
      <c r="H25" s="20" t="s">
        <v>43</v>
      </c>
      <c r="I25" s="38">
        <f>SUM(I21:I23)</f>
        <v>9.875994191853751</v>
      </c>
      <c r="J25" s="39"/>
      <c r="K25" s="12"/>
    </row>
    <row r="26" spans="2:11" ht="13.5" customHeight="1" x14ac:dyDescent="0.3">
      <c r="B26" s="73"/>
      <c r="C26" s="73"/>
      <c r="D26" s="73"/>
      <c r="E26" s="4"/>
      <c r="F26" s="7"/>
    </row>
    <row r="27" spans="2:11" ht="13.5" customHeight="1" x14ac:dyDescent="0.3">
      <c r="B27" s="73"/>
      <c r="C27" s="73"/>
      <c r="D27" s="73"/>
      <c r="E27" s="26" t="s">
        <v>37</v>
      </c>
      <c r="F27" s="32">
        <f>(F20/F25)+(F21/F25)+(F22/F25)+(F23/F25)+(F24/F25)</f>
        <v>65.561111111111103</v>
      </c>
    </row>
    <row r="28" spans="2:11" ht="13.5" customHeight="1" x14ac:dyDescent="0.3">
      <c r="B28" s="73"/>
      <c r="C28" s="73"/>
      <c r="D28" s="73"/>
      <c r="H28" s="33" t="s">
        <v>49</v>
      </c>
      <c r="I28" s="14" t="s">
        <v>50</v>
      </c>
      <c r="J28" s="34">
        <f>C31+C34+C35+(C40*C37)</f>
        <v>6.5120000000000005</v>
      </c>
      <c r="K28" s="35"/>
    </row>
    <row r="29" spans="2:11" ht="13.5" customHeight="1" x14ac:dyDescent="0.3">
      <c r="H29" s="4" t="s">
        <v>49</v>
      </c>
      <c r="I29" s="6" t="s">
        <v>26</v>
      </c>
      <c r="J29" s="13">
        <f>C32+C34+C35+(C40*C38)</f>
        <v>9.0120000000000005</v>
      </c>
      <c r="K29" s="7"/>
    </row>
    <row r="30" spans="2:11" ht="13.5" customHeight="1" x14ac:dyDescent="0.3">
      <c r="B30" s="46" t="s">
        <v>25</v>
      </c>
      <c r="C30" s="48"/>
      <c r="D30" s="48"/>
      <c r="E30" s="48"/>
      <c r="F30" s="47"/>
      <c r="H30" s="20" t="s">
        <v>49</v>
      </c>
      <c r="I30" s="39" t="s">
        <v>53</v>
      </c>
      <c r="J30" s="38">
        <f>C33+C34+C35+(C39*C40)</f>
        <v>11.512</v>
      </c>
      <c r="K30" s="12"/>
    </row>
    <row r="31" spans="2:11" ht="13.5" customHeight="1" x14ac:dyDescent="0.3">
      <c r="B31" s="4" t="s">
        <v>41</v>
      </c>
      <c r="C31" s="37">
        <v>2</v>
      </c>
      <c r="D31" s="5"/>
      <c r="E31" s="6"/>
      <c r="F31" s="7"/>
    </row>
    <row r="32" spans="2:11" ht="13.5" customHeight="1" x14ac:dyDescent="0.3">
      <c r="B32" s="4" t="s">
        <v>42</v>
      </c>
      <c r="C32" s="37">
        <v>4</v>
      </c>
      <c r="D32" s="5"/>
      <c r="E32" s="6"/>
      <c r="F32" s="7"/>
    </row>
    <row r="33" spans="2:6" ht="13.5" customHeight="1" x14ac:dyDescent="0.3">
      <c r="B33" s="4" t="s">
        <v>44</v>
      </c>
      <c r="C33" s="37">
        <v>6</v>
      </c>
      <c r="D33" s="41" t="s">
        <v>45</v>
      </c>
      <c r="E33" s="41" t="s">
        <v>46</v>
      </c>
      <c r="F33" s="7"/>
    </row>
    <row r="34" spans="2:6" ht="15.75" customHeight="1" x14ac:dyDescent="0.3">
      <c r="B34" s="4" t="s">
        <v>47</v>
      </c>
      <c r="C34" s="13">
        <f>D34/E34</f>
        <v>2.2949999999999999</v>
      </c>
      <c r="D34" s="43">
        <v>45.9</v>
      </c>
      <c r="E34" s="5">
        <v>20</v>
      </c>
      <c r="F34" s="7"/>
    </row>
    <row r="35" spans="2:6" ht="15.75" customHeight="1" x14ac:dyDescent="0.3">
      <c r="B35" s="4" t="s">
        <v>48</v>
      </c>
      <c r="C35" s="13">
        <f>D35/E35</f>
        <v>1.2170000000000001</v>
      </c>
      <c r="D35" s="43">
        <v>24.34</v>
      </c>
      <c r="E35" s="5">
        <v>20</v>
      </c>
      <c r="F35" s="7"/>
    </row>
    <row r="36" spans="2:6" ht="15.75" customHeight="1" x14ac:dyDescent="0.3">
      <c r="B36" s="46" t="s">
        <v>51</v>
      </c>
      <c r="C36" s="48"/>
      <c r="D36" s="48"/>
      <c r="E36" s="48"/>
      <c r="F36" s="47"/>
    </row>
    <row r="37" spans="2:6" ht="15.75" customHeight="1" x14ac:dyDescent="0.3">
      <c r="B37" s="4" t="s">
        <v>50</v>
      </c>
      <c r="C37" s="6">
        <v>1</v>
      </c>
      <c r="D37" s="6" t="s">
        <v>52</v>
      </c>
      <c r="E37" s="6"/>
      <c r="F37" s="7"/>
    </row>
    <row r="38" spans="2:6" ht="15.75" customHeight="1" x14ac:dyDescent="0.3">
      <c r="B38" s="4" t="s">
        <v>26</v>
      </c>
      <c r="C38" s="6">
        <v>1.5</v>
      </c>
      <c r="D38" s="6" t="s">
        <v>52</v>
      </c>
      <c r="E38" s="6"/>
      <c r="F38" s="7"/>
    </row>
    <row r="39" spans="2:6" ht="15.75" customHeight="1" x14ac:dyDescent="0.3">
      <c r="B39" s="4" t="s">
        <v>53</v>
      </c>
      <c r="C39" s="6">
        <v>2</v>
      </c>
      <c r="D39" s="6" t="s">
        <v>52</v>
      </c>
      <c r="E39" s="6"/>
      <c r="F39" s="7"/>
    </row>
    <row r="40" spans="2:6" ht="15.75" customHeight="1" x14ac:dyDescent="0.3">
      <c r="B40" s="20" t="s">
        <v>54</v>
      </c>
      <c r="C40" s="44">
        <v>1</v>
      </c>
      <c r="D40" s="39"/>
      <c r="E40" s="39"/>
      <c r="F40" s="12"/>
    </row>
    <row r="41" spans="2:6" ht="15.75" customHeight="1" x14ac:dyDescent="0.3"/>
    <row r="42" spans="2:6" ht="15.75" customHeight="1" x14ac:dyDescent="0.3"/>
    <row r="43" spans="2:6" ht="15.75" customHeight="1" x14ac:dyDescent="0.3"/>
    <row r="44" spans="2:6" ht="15.75" customHeight="1" x14ac:dyDescent="0.3"/>
    <row r="45" spans="2:6" ht="15.75" customHeight="1" x14ac:dyDescent="0.3"/>
    <row r="46" spans="2:6" ht="15.75" customHeight="1" x14ac:dyDescent="0.3"/>
    <row r="47" spans="2:6" ht="15.75" customHeight="1" x14ac:dyDescent="0.3"/>
    <row r="48" spans="2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C7:D7"/>
    <mergeCell ref="E7:F7"/>
    <mergeCell ref="M2:Q2"/>
    <mergeCell ref="E19:F19"/>
    <mergeCell ref="B2:F2"/>
    <mergeCell ref="H2:K2"/>
    <mergeCell ref="C3:D3"/>
    <mergeCell ref="E3:F3"/>
    <mergeCell ref="B10:C10"/>
    <mergeCell ref="E10:F10"/>
    <mergeCell ref="H11:K11"/>
    <mergeCell ref="C5:D5"/>
    <mergeCell ref="E5:F5"/>
  </mergeCells>
  <dataValidations disablePrompts="1" count="1">
    <dataValidation type="list" allowBlank="1" showErrorMessage="1" sqref="I12" xr:uid="{00000000-0002-0000-0100-000000000000}">
      <formula1>$B$37:$B$39</formula1>
    </dataValidation>
  </dataValidation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2"/>
  <sheetViews>
    <sheetView workbookViewId="0">
      <selection activeCell="D29" sqref="D29:D30"/>
    </sheetView>
  </sheetViews>
  <sheetFormatPr defaultColWidth="14.44140625" defaultRowHeight="15" customHeight="1" x14ac:dyDescent="0.3"/>
  <cols>
    <col min="1" max="1" width="4.5546875" customWidth="1"/>
    <col min="2" max="2" width="23.5546875" customWidth="1"/>
    <col min="3" max="3" width="14.33203125" customWidth="1"/>
    <col min="4" max="4" width="11.109375" customWidth="1"/>
    <col min="5" max="5" width="19.33203125" customWidth="1"/>
    <col min="6" max="6" width="12.44140625" customWidth="1"/>
    <col min="7" max="7" width="4.5546875" customWidth="1"/>
    <col min="8" max="8" width="24.109375" customWidth="1"/>
    <col min="9" max="9" width="12.109375" customWidth="1"/>
    <col min="10" max="10" width="10" customWidth="1"/>
    <col min="11" max="11" width="8.88671875" customWidth="1"/>
    <col min="12" max="12" width="8.5546875" customWidth="1"/>
    <col min="13" max="13" width="14.33203125" customWidth="1"/>
    <col min="14" max="26" width="8.6640625" customWidth="1"/>
  </cols>
  <sheetData>
    <row r="1" spans="2:14" ht="13.5" customHeight="1" x14ac:dyDescent="0.3"/>
    <row r="2" spans="2:14" ht="13.5" customHeight="1" x14ac:dyDescent="0.3">
      <c r="B2" s="1" t="s">
        <v>0</v>
      </c>
      <c r="D2" s="2" t="s">
        <v>1</v>
      </c>
    </row>
    <row r="3" spans="2:14" ht="13.5" customHeight="1" x14ac:dyDescent="0.3"/>
    <row r="4" spans="2:14" ht="13.5" customHeight="1" x14ac:dyDescent="0.3">
      <c r="B4" s="70" t="s">
        <v>2</v>
      </c>
      <c r="C4" s="71"/>
      <c r="D4" s="71"/>
      <c r="E4" s="71"/>
      <c r="F4" s="66"/>
      <c r="H4" s="70" t="s">
        <v>3</v>
      </c>
      <c r="I4" s="71"/>
      <c r="J4" s="71"/>
      <c r="K4" s="66"/>
    </row>
    <row r="5" spans="2:14" ht="13.5" customHeight="1" x14ac:dyDescent="0.3">
      <c r="B5" s="3" t="s">
        <v>4</v>
      </c>
      <c r="C5" s="65" t="s">
        <v>5</v>
      </c>
      <c r="D5" s="66"/>
      <c r="E5" s="65" t="s">
        <v>6</v>
      </c>
      <c r="F5" s="66"/>
      <c r="H5" s="4" t="s">
        <v>7</v>
      </c>
      <c r="I5" s="5">
        <v>2.5</v>
      </c>
      <c r="J5" s="6"/>
      <c r="K5" s="7"/>
    </row>
    <row r="6" spans="2:14" ht="13.5" customHeight="1" x14ac:dyDescent="0.3">
      <c r="B6" s="8" t="s">
        <v>58</v>
      </c>
      <c r="C6" s="9">
        <v>5.41</v>
      </c>
      <c r="D6" s="10" t="s">
        <v>8</v>
      </c>
      <c r="E6" s="11">
        <v>39</v>
      </c>
      <c r="F6" s="12" t="s">
        <v>9</v>
      </c>
      <c r="H6" s="4" t="s">
        <v>10</v>
      </c>
      <c r="I6" s="13">
        <f>I8-I27</f>
        <v>13.378280654266</v>
      </c>
      <c r="J6" s="6"/>
      <c r="K6" s="7"/>
    </row>
    <row r="7" spans="2:14" ht="13.5" customHeight="1" x14ac:dyDescent="0.3">
      <c r="D7" s="14"/>
      <c r="H7" s="4"/>
      <c r="I7" s="6"/>
      <c r="J7" s="6"/>
      <c r="K7" s="7"/>
    </row>
    <row r="8" spans="2:14" ht="13.5" customHeight="1" x14ac:dyDescent="0.3">
      <c r="B8" s="70" t="s">
        <v>11</v>
      </c>
      <c r="C8" s="66"/>
      <c r="D8" s="6"/>
      <c r="E8" s="70" t="s">
        <v>12</v>
      </c>
      <c r="F8" s="66"/>
      <c r="H8" s="4" t="s">
        <v>13</v>
      </c>
      <c r="I8" s="15">
        <f>ROUNDUP((I27*I5),0)</f>
        <v>22</v>
      </c>
      <c r="J8" s="6"/>
      <c r="K8" s="7"/>
    </row>
    <row r="9" spans="2:14" ht="13.5" customHeight="1" x14ac:dyDescent="0.3">
      <c r="B9" s="16" t="s">
        <v>55</v>
      </c>
      <c r="C9" s="17">
        <v>60</v>
      </c>
      <c r="D9" s="6"/>
      <c r="E9" s="18" t="s">
        <v>14</v>
      </c>
      <c r="F9" s="17">
        <v>139.9</v>
      </c>
      <c r="H9" s="4" t="s">
        <v>15</v>
      </c>
      <c r="I9" s="15">
        <f>ROUNDUP(((I8*J9)+I8)+K9,0)</f>
        <v>31</v>
      </c>
      <c r="J9" s="19">
        <v>0.2</v>
      </c>
      <c r="K9" s="17">
        <v>4</v>
      </c>
    </row>
    <row r="10" spans="2:14" ht="13.5" customHeight="1" x14ac:dyDescent="0.3">
      <c r="B10" s="16" t="s">
        <v>16</v>
      </c>
      <c r="C10" s="17">
        <v>54.23</v>
      </c>
      <c r="D10" s="6"/>
      <c r="E10" s="18" t="s">
        <v>17</v>
      </c>
      <c r="F10" s="7">
        <v>42</v>
      </c>
      <c r="H10" s="20" t="s">
        <v>18</v>
      </c>
      <c r="I10" s="21">
        <f>ROUNDUP((I8*J10)+I8,0)</f>
        <v>27</v>
      </c>
      <c r="J10" s="22">
        <v>0.19</v>
      </c>
      <c r="K10" s="12" t="s">
        <v>19</v>
      </c>
    </row>
    <row r="11" spans="2:14" ht="13.5" customHeight="1" x14ac:dyDescent="0.3">
      <c r="B11" s="16" t="s">
        <v>28</v>
      </c>
      <c r="C11" s="17"/>
      <c r="D11" s="6"/>
      <c r="E11" s="18" t="s">
        <v>20</v>
      </c>
      <c r="F11" s="7">
        <v>0.97</v>
      </c>
    </row>
    <row r="12" spans="2:14" ht="13.5" customHeight="1" x14ac:dyDescent="0.3">
      <c r="B12" s="16" t="s">
        <v>28</v>
      </c>
      <c r="C12" s="17"/>
      <c r="D12" s="6"/>
      <c r="E12" s="18" t="s">
        <v>21</v>
      </c>
      <c r="F12" s="17">
        <v>0</v>
      </c>
    </row>
    <row r="13" spans="2:14" ht="13.5" customHeight="1" x14ac:dyDescent="0.3">
      <c r="B13" s="16" t="s">
        <v>28</v>
      </c>
      <c r="C13" s="17"/>
      <c r="D13" s="6"/>
      <c r="E13" s="18" t="s">
        <v>22</v>
      </c>
      <c r="F13" s="17">
        <v>0</v>
      </c>
      <c r="H13" s="70" t="s">
        <v>23</v>
      </c>
      <c r="I13" s="71"/>
      <c r="J13" s="71"/>
      <c r="K13" s="66"/>
    </row>
    <row r="14" spans="2:14" ht="13.5" customHeight="1" x14ac:dyDescent="0.3">
      <c r="B14" s="16" t="s">
        <v>28</v>
      </c>
      <c r="C14" s="17"/>
      <c r="D14" s="6"/>
      <c r="E14" s="4" t="s">
        <v>57</v>
      </c>
      <c r="F14" s="7">
        <v>28.9</v>
      </c>
      <c r="H14" s="4" t="s">
        <v>25</v>
      </c>
      <c r="I14" s="23" t="s">
        <v>50</v>
      </c>
      <c r="J14" s="6"/>
      <c r="K14" s="7"/>
      <c r="N14" s="1" t="s">
        <v>27</v>
      </c>
    </row>
    <row r="15" spans="2:14" ht="13.5" customHeight="1" x14ac:dyDescent="0.3">
      <c r="B15" s="16" t="s">
        <v>28</v>
      </c>
      <c r="C15" s="17"/>
      <c r="D15" s="6"/>
      <c r="E15" s="70" t="s">
        <v>24</v>
      </c>
      <c r="F15" s="66"/>
      <c r="H15" s="4" t="s">
        <v>7</v>
      </c>
      <c r="I15" s="5">
        <v>2.5</v>
      </c>
      <c r="J15" s="6"/>
      <c r="K15" s="7"/>
    </row>
    <row r="16" spans="2:14" ht="13.5" customHeight="1" x14ac:dyDescent="0.3">
      <c r="B16" s="16" t="s">
        <v>28</v>
      </c>
      <c r="C16" s="17"/>
      <c r="D16" s="6"/>
      <c r="E16" s="16" t="s">
        <v>56</v>
      </c>
      <c r="F16" s="17">
        <v>1500</v>
      </c>
      <c r="H16" s="4" t="s">
        <v>10</v>
      </c>
      <c r="I16" s="13">
        <f>I18-(VLOOKUP(I14,I30:J32,2,FALSE))-I27</f>
        <v>50.703613987599333</v>
      </c>
      <c r="J16" s="6"/>
      <c r="K16" s="7"/>
      <c r="M16" s="24"/>
      <c r="N16" s="1" t="s">
        <v>29</v>
      </c>
    </row>
    <row r="17" spans="2:14" ht="13.5" customHeight="1" x14ac:dyDescent="0.3">
      <c r="B17" s="16" t="s">
        <v>28</v>
      </c>
      <c r="C17" s="17"/>
      <c r="D17" s="6"/>
      <c r="E17" s="16" t="s">
        <v>28</v>
      </c>
      <c r="F17" s="17"/>
      <c r="H17" s="4"/>
      <c r="I17" s="6"/>
      <c r="J17" s="6"/>
      <c r="K17" s="7"/>
      <c r="N17" s="1" t="s">
        <v>30</v>
      </c>
    </row>
    <row r="18" spans="2:14" ht="13.5" customHeight="1" x14ac:dyDescent="0.3">
      <c r="B18" s="16" t="s">
        <v>28</v>
      </c>
      <c r="C18" s="17"/>
      <c r="D18" s="6"/>
      <c r="E18" s="16" t="s">
        <v>28</v>
      </c>
      <c r="F18" s="17"/>
      <c r="H18" s="4" t="s">
        <v>13</v>
      </c>
      <c r="I18" s="15">
        <f>ROUNDUP(((I27+(VLOOKUP(I14,I30:J32,2,FALSE)))*I15),0)</f>
        <v>84</v>
      </c>
      <c r="J18" s="6"/>
      <c r="K18" s="7"/>
    </row>
    <row r="19" spans="2:14" ht="13.5" customHeight="1" x14ac:dyDescent="0.3">
      <c r="B19" s="16" t="s">
        <v>28</v>
      </c>
      <c r="C19" s="17"/>
      <c r="D19" s="6"/>
      <c r="E19" s="16" t="s">
        <v>28</v>
      </c>
      <c r="F19" s="17"/>
      <c r="H19" s="4" t="s">
        <v>15</v>
      </c>
      <c r="I19" s="15">
        <f>ROUNDUP(((I18*J19)+I18)+K19,0)</f>
        <v>105</v>
      </c>
      <c r="J19" s="19">
        <v>0.2</v>
      </c>
      <c r="K19" s="17">
        <v>4</v>
      </c>
      <c r="M19" s="25"/>
      <c r="N19" s="1" t="s">
        <v>31</v>
      </c>
    </row>
    <row r="20" spans="2:14" ht="13.5" customHeight="1" x14ac:dyDescent="0.3">
      <c r="B20" s="26" t="s">
        <v>32</v>
      </c>
      <c r="C20" s="27">
        <f>SUM(C9:C19)</f>
        <v>114.22999999999999</v>
      </c>
      <c r="D20" s="6"/>
      <c r="E20" s="16" t="s">
        <v>28</v>
      </c>
      <c r="F20" s="17"/>
      <c r="H20" s="20" t="s">
        <v>18</v>
      </c>
      <c r="I20" s="21">
        <f>ROUNDUP((I18*J20)+I18,0)</f>
        <v>100</v>
      </c>
      <c r="J20" s="22">
        <v>0.19</v>
      </c>
      <c r="K20" s="12" t="s">
        <v>19</v>
      </c>
    </row>
    <row r="21" spans="2:14" ht="13.5" customHeight="1" x14ac:dyDescent="0.3">
      <c r="B21" s="4"/>
      <c r="C21" s="7"/>
      <c r="D21" s="6"/>
      <c r="E21" s="16" t="s">
        <v>33</v>
      </c>
      <c r="F21" s="28">
        <v>24</v>
      </c>
      <c r="M21" s="29"/>
      <c r="N21" s="1" t="s">
        <v>34</v>
      </c>
    </row>
    <row r="22" spans="2:14" ht="13.5" customHeight="1" x14ac:dyDescent="0.3">
      <c r="B22" s="4" t="s">
        <v>35</v>
      </c>
      <c r="C22" s="17">
        <v>300</v>
      </c>
      <c r="D22" s="6"/>
      <c r="E22" s="4"/>
      <c r="F22" s="7"/>
    </row>
    <row r="23" spans="2:14" ht="13.5" customHeight="1" x14ac:dyDescent="0.3">
      <c r="B23" s="20" t="s">
        <v>36</v>
      </c>
      <c r="C23" s="30">
        <f>C20/C22</f>
        <v>0.38076666666666664</v>
      </c>
      <c r="D23" s="31"/>
      <c r="E23" s="26" t="s">
        <v>37</v>
      </c>
      <c r="F23" s="32">
        <f>(F16/F21)+(F17/F21)+(F18/F21)+(F19/F21)+(F20/F21)</f>
        <v>62.5</v>
      </c>
      <c r="H23" s="33" t="s">
        <v>38</v>
      </c>
      <c r="I23" s="34">
        <f>(((F9/1000)*E6)+((F11*F10)/1000)*C6)+F12+F13</f>
        <v>5.6765034000000005</v>
      </c>
      <c r="J23" s="14"/>
      <c r="K23" s="35"/>
    </row>
    <row r="24" spans="2:14" ht="13.5" customHeight="1" x14ac:dyDescent="0.3">
      <c r="H24" s="4" t="s">
        <v>39</v>
      </c>
      <c r="I24" s="13">
        <f>I23*C23</f>
        <v>2.16142327794</v>
      </c>
      <c r="J24" s="6"/>
      <c r="K24" s="7"/>
    </row>
    <row r="25" spans="2:14" ht="13.5" customHeight="1" x14ac:dyDescent="0.3">
      <c r="B25" s="70" t="s">
        <v>25</v>
      </c>
      <c r="C25" s="71"/>
      <c r="D25" s="71"/>
      <c r="E25" s="71"/>
      <c r="F25" s="66"/>
      <c r="H25" s="4" t="s">
        <v>40</v>
      </c>
      <c r="I25" s="13">
        <f>(I23+I24)*J25</f>
        <v>0.78379266779400014</v>
      </c>
      <c r="J25" s="36">
        <v>0.1</v>
      </c>
      <c r="K25" s="7"/>
    </row>
    <row r="26" spans="2:14" ht="13.5" customHeight="1" x14ac:dyDescent="0.3">
      <c r="B26" s="4" t="s">
        <v>41</v>
      </c>
      <c r="C26" s="37">
        <v>2</v>
      </c>
      <c r="D26" s="5"/>
      <c r="E26" s="6"/>
      <c r="F26" s="7"/>
      <c r="H26" s="4"/>
      <c r="I26" s="6"/>
      <c r="J26" s="6"/>
      <c r="K26" s="7"/>
    </row>
    <row r="27" spans="2:14" ht="13.5" customHeight="1" x14ac:dyDescent="0.3">
      <c r="B27" s="4" t="s">
        <v>42</v>
      </c>
      <c r="C27" s="37">
        <v>4</v>
      </c>
      <c r="D27" s="5"/>
      <c r="E27" s="6"/>
      <c r="F27" s="7"/>
      <c r="H27" s="20" t="s">
        <v>43</v>
      </c>
      <c r="I27" s="38">
        <f>SUM(I23:I25)</f>
        <v>8.6217193457340002</v>
      </c>
      <c r="J27" s="39"/>
      <c r="K27" s="12"/>
      <c r="M27" s="40"/>
    </row>
    <row r="28" spans="2:14" ht="13.5" customHeight="1" x14ac:dyDescent="0.3">
      <c r="B28" s="4" t="s">
        <v>44</v>
      </c>
      <c r="C28" s="37">
        <v>6</v>
      </c>
      <c r="D28" s="41" t="s">
        <v>45</v>
      </c>
      <c r="E28" s="41" t="s">
        <v>46</v>
      </c>
      <c r="F28" s="7"/>
      <c r="M28" s="42"/>
    </row>
    <row r="29" spans="2:14" ht="13.5" customHeight="1" x14ac:dyDescent="0.3">
      <c r="B29" s="4" t="s">
        <v>47</v>
      </c>
      <c r="C29" s="13">
        <f t="shared" ref="C29:C30" si="0">D29/E29</f>
        <v>1.8633333333333333</v>
      </c>
      <c r="D29" s="43">
        <v>55.9</v>
      </c>
      <c r="E29" s="5">
        <v>30</v>
      </c>
      <c r="F29" s="7"/>
      <c r="M29" s="42"/>
    </row>
    <row r="30" spans="2:14" ht="13.5" customHeight="1" x14ac:dyDescent="0.3">
      <c r="B30" s="4" t="s">
        <v>48</v>
      </c>
      <c r="C30" s="13">
        <f t="shared" si="0"/>
        <v>0.81133333333333335</v>
      </c>
      <c r="D30" s="43">
        <v>24.34</v>
      </c>
      <c r="E30" s="5">
        <v>30</v>
      </c>
      <c r="F30" s="7"/>
      <c r="H30" s="33" t="s">
        <v>49</v>
      </c>
      <c r="I30" s="14" t="s">
        <v>50</v>
      </c>
      <c r="J30" s="34">
        <f>C26+C29+C30+(C35*C32)</f>
        <v>24.674666666666667</v>
      </c>
      <c r="K30" s="35"/>
      <c r="M30" s="42"/>
    </row>
    <row r="31" spans="2:14" ht="13.5" customHeight="1" x14ac:dyDescent="0.3">
      <c r="B31" s="70" t="s">
        <v>51</v>
      </c>
      <c r="C31" s="71"/>
      <c r="D31" s="71"/>
      <c r="E31" s="71"/>
      <c r="F31" s="66"/>
      <c r="H31" s="4" t="s">
        <v>49</v>
      </c>
      <c r="I31" s="6" t="s">
        <v>26</v>
      </c>
      <c r="J31" s="13">
        <f>C27+C29+C30+(C35*C33)</f>
        <v>56.674666666666667</v>
      </c>
      <c r="K31" s="7"/>
      <c r="M31" s="42"/>
    </row>
    <row r="32" spans="2:14" ht="13.5" customHeight="1" x14ac:dyDescent="0.3">
      <c r="B32" s="4" t="s">
        <v>50</v>
      </c>
      <c r="C32" s="6">
        <v>1</v>
      </c>
      <c r="D32" s="6" t="s">
        <v>52</v>
      </c>
      <c r="E32" s="6"/>
      <c r="F32" s="7"/>
      <c r="H32" s="20" t="s">
        <v>49</v>
      </c>
      <c r="I32" s="39" t="s">
        <v>53</v>
      </c>
      <c r="J32" s="38">
        <f>C28+C29+C30+(C34*C35)</f>
        <v>68.674666666666667</v>
      </c>
      <c r="K32" s="12"/>
    </row>
    <row r="33" spans="2:6" ht="13.5" customHeight="1" x14ac:dyDescent="0.3">
      <c r="B33" s="4" t="s">
        <v>26</v>
      </c>
      <c r="C33" s="6">
        <v>2.5</v>
      </c>
      <c r="D33" s="6" t="s">
        <v>52</v>
      </c>
      <c r="E33" s="6"/>
      <c r="F33" s="7"/>
    </row>
    <row r="34" spans="2:6" ht="13.5" customHeight="1" x14ac:dyDescent="0.3">
      <c r="B34" s="4" t="s">
        <v>53</v>
      </c>
      <c r="C34" s="6">
        <v>3</v>
      </c>
      <c r="D34" s="6" t="s">
        <v>52</v>
      </c>
      <c r="E34" s="6"/>
      <c r="F34" s="7"/>
    </row>
    <row r="35" spans="2:6" ht="13.5" customHeight="1" x14ac:dyDescent="0.3">
      <c r="B35" s="20" t="s">
        <v>54</v>
      </c>
      <c r="C35" s="44">
        <v>20</v>
      </c>
      <c r="D35" s="39"/>
      <c r="E35" s="39"/>
      <c r="F35" s="12"/>
    </row>
    <row r="36" spans="2:6" ht="15.75" customHeight="1" x14ac:dyDescent="0.3"/>
    <row r="37" spans="2:6" ht="15.75" customHeight="1" x14ac:dyDescent="0.3"/>
    <row r="38" spans="2:6" ht="15.75" customHeight="1" x14ac:dyDescent="0.3"/>
    <row r="39" spans="2:6" ht="15.75" customHeight="1" x14ac:dyDescent="0.3"/>
    <row r="40" spans="2:6" ht="15.75" customHeight="1" x14ac:dyDescent="0.3"/>
    <row r="41" spans="2:6" ht="15.75" customHeight="1" x14ac:dyDescent="0.3"/>
    <row r="42" spans="2:6" ht="15.75" customHeight="1" x14ac:dyDescent="0.3"/>
    <row r="43" spans="2:6" ht="15.75" customHeight="1" x14ac:dyDescent="0.3"/>
    <row r="44" spans="2:6" ht="15.75" customHeight="1" x14ac:dyDescent="0.3"/>
    <row r="45" spans="2:6" ht="15.75" customHeight="1" x14ac:dyDescent="0.3"/>
    <row r="46" spans="2:6" ht="15.75" customHeight="1" x14ac:dyDescent="0.3"/>
    <row r="47" spans="2:6" ht="15.75" customHeight="1" x14ac:dyDescent="0.3"/>
    <row r="48" spans="2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10">
    <mergeCell ref="E15:F15"/>
    <mergeCell ref="B25:F25"/>
    <mergeCell ref="B31:F31"/>
    <mergeCell ref="B4:F4"/>
    <mergeCell ref="H4:K4"/>
    <mergeCell ref="C5:D5"/>
    <mergeCell ref="E5:F5"/>
    <mergeCell ref="B8:C8"/>
    <mergeCell ref="E8:F8"/>
    <mergeCell ref="H13:K13"/>
  </mergeCells>
  <dataValidations count="1">
    <dataValidation type="list" allowBlank="1" showErrorMessage="1" sqref="I14" xr:uid="{00000000-0002-0000-0000-000000000000}">
      <formula1>$B$32:$B$34</formula1>
    </dataValidation>
  </dataValidations>
  <hyperlinks>
    <hyperlink ref="D2" r:id="rId1" xr:uid="{00000000-0004-0000-0000-000000000000}"/>
  </hyperlinks>
  <pageMargins left="0.511811024" right="0.511811024" top="0.78740157499999996" bottom="0.78740157499999996" header="0" footer="0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 Resina</vt:lpstr>
      <vt:lpstr>Custo Filamento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Comercial VD</cp:lastModifiedBy>
  <dcterms:created xsi:type="dcterms:W3CDTF">2025-09-17T11:31:11Z</dcterms:created>
  <dcterms:modified xsi:type="dcterms:W3CDTF">2026-03-09T18:08:05Z</dcterms:modified>
</cp:coreProperties>
</file>